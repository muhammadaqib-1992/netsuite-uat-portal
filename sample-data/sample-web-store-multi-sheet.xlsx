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Tracker" state="visible" r:id="rId4"/>
    <sheet sheetId="2" name="Home Page" state="visible" r:id="rId5"/>
    <sheet sheetId="3" name="Search" state="visible" r:id="rId6"/>
    <sheet sheetId="4" name="Cart and Checkout" state="visible" r:id="rId7"/>
    <sheet sheetId="5" name="My Account" state="visible" r:id="rId8"/>
  </sheets>
  <calcPr calcId="171027"/>
</workbook>
</file>

<file path=xl/sharedStrings.xml><?xml version="1.0" encoding="utf-8"?>
<sst xmlns="http://schemas.openxmlformats.org/spreadsheetml/2006/main" count="136" uniqueCount="82">
  <si>
    <t>Web Store UAT (sample data)</t>
  </si>
  <si>
    <t>Worksheet</t>
  </si>
  <si>
    <t>Total</t>
  </si>
  <si>
    <t>Pass</t>
  </si>
  <si>
    <t>Fail</t>
  </si>
  <si>
    <t>Needs Discussion</t>
  </si>
  <si>
    <t>Pending</t>
  </si>
  <si>
    <t>Retest</t>
  </si>
  <si>
    <t>N/A</t>
  </si>
  <si>
    <t>Not Run</t>
  </si>
  <si>
    <t>All</t>
  </si>
  <si>
    <t>Home Page</t>
  </si>
  <si>
    <t>Search</t>
  </si>
  <si>
    <t>Cart and Checkout</t>
  </si>
  <si>
    <t>My Account</t>
  </si>
  <si>
    <t>Web Store UAT – Home Page (sample data)</t>
  </si>
  <si>
    <t>No.</t>
  </si>
  <si>
    <t>Scenario</t>
  </si>
  <si>
    <t>Step Name</t>
  </si>
  <si>
    <t>Step Instructions</t>
  </si>
  <si>
    <t>Notes / Prerequisites</t>
  </si>
  <si>
    <t>Expected Results</t>
  </si>
  <si>
    <t xml:space="preserve">Results
(Pass / Fail / N/A)</t>
  </si>
  <si>
    <t>Role</t>
  </si>
  <si>
    <t>Actual Results &amp; Date</t>
  </si>
  <si>
    <t>Comments</t>
  </si>
  <si>
    <t>1 Hero Banner</t>
  </si>
  <si>
    <t>1.1</t>
  </si>
  <si>
    <t>Hero Banner</t>
  </si>
  <si>
    <t>Banner rotates through slides</t>
  </si>
  <si>
    <t xml:space="preserve">Open the home page.
Wait 10 seconds.</t>
  </si>
  <si>
    <t>- Use the sample web store in the test environment.</t>
  </si>
  <si>
    <t>Slides change automatically and arrows work.</t>
  </si>
  <si>
    <t>Guest visitor</t>
  </si>
  <si>
    <t>2 Featured Products</t>
  </si>
  <si>
    <t>2.1</t>
  </si>
  <si>
    <t>Featured Products</t>
  </si>
  <si>
    <t>Featured products show prices</t>
  </si>
  <si>
    <t>Scroll to Featured Products.</t>
  </si>
  <si>
    <t>Each product shows image, name and price.</t>
  </si>
  <si>
    <t>Signed-in customer</t>
  </si>
  <si>
    <t>2.2</t>
  </si>
  <si>
    <t>Guest sees no prices</t>
  </si>
  <si>
    <t>Sign out and open the home page.</t>
  </si>
  <si>
    <t>Prices are replaced by "Sign in for pricing".</t>
  </si>
  <si>
    <t>Web Store UAT – Search (sample data)</t>
  </si>
  <si>
    <t>1 Keyword Search</t>
  </si>
  <si>
    <t>Keyword Search</t>
  </si>
  <si>
    <t>Search by item name</t>
  </si>
  <si>
    <t>Type "Sample Lamp" in search and press Enter.</t>
  </si>
  <si>
    <t>Matching items are listed first.</t>
  </si>
  <si>
    <t/>
  </si>
  <si>
    <t>1.2</t>
  </si>
  <si>
    <t>No results message</t>
  </si>
  <si>
    <t>Search for "zzzz".</t>
  </si>
  <si>
    <t>A friendly no-results message appears.</t>
  </si>
  <si>
    <t>Web Store UAT – Cart and Checkout (sample data)</t>
  </si>
  <si>
    <t>1 Cart</t>
  </si>
  <si>
    <t>Cart</t>
  </si>
  <si>
    <t>Add an item to the cart</t>
  </si>
  <si>
    <t xml:space="preserve">Open a product page.
Click Add to Cart.</t>
  </si>
  <si>
    <t>Cart count increases by one.</t>
  </si>
  <si>
    <t>2 Checkout</t>
  </si>
  <si>
    <t>Checkout</t>
  </si>
  <si>
    <t>Place an order on account</t>
  </si>
  <si>
    <t xml:space="preserve">Go to checkout.
Choose Pay on Account.
Submit.</t>
  </si>
  <si>
    <t>Order confirmation page shows the order number.</t>
  </si>
  <si>
    <t>Customer with terms</t>
  </si>
  <si>
    <t>Card payment is hidden for account customers</t>
  </si>
  <si>
    <t>Go to checkout as an account customer.</t>
  </si>
  <si>
    <t>Credit card option is not shown.</t>
  </si>
  <si>
    <t>Web Store UAT – My Account (sample data)</t>
  </si>
  <si>
    <t>1 Order History</t>
  </si>
  <si>
    <t>Order History</t>
  </si>
  <si>
    <t>View past orders</t>
  </si>
  <si>
    <t>Open My Account &gt; Orders.</t>
  </si>
  <si>
    <t>Orders list shows the last 12 months.</t>
  </si>
  <si>
    <t>2 Invoices</t>
  </si>
  <si>
    <t>Invoices</t>
  </si>
  <si>
    <t>Download an invoice PDF</t>
  </si>
  <si>
    <t xml:space="preserve">Open My Account &gt; Invoices.
Click Download.</t>
  </si>
  <si>
    <t>Invoice PDF downloads.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</si>
</sst>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2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6" customWidth="1"/>
  </cols>
  <sheetData>
    <row r="1" spans="1:1" x14ac:dyDescent="0.25">
      <c r="A1" s="1" t="s">
        <v>0</v>
      </c>
    </row>
    <row r="2" spans="1:9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2" x14ac:dyDescent="0.25">
      <c r="A3" t="s">
        <v>10</v>
      </c>
      <c r="B3">
        <f>SUM(B4:B7)</f>
      </c>
    </row>
    <row r="4" spans="1:9" x14ac:dyDescent="0.25">
      <c r="A4" t="s">
        <v>11</v>
      </c>
      <c r="B4">
        <f>COUNTA('Home Page'!B3:B200)-COUNTIF('Home Page'!B3:B200,"* *")</f>
      </c>
      <c r="C4">
        <f>COUNTIF('Home Page'!H3:H200,"Pass")</f>
      </c>
      <c r="D4">
        <f>COUNTIF('Home Page'!H3:H200,"Fail")</f>
      </c>
      <c r="E4">
        <f>COUNTIF('Home Page'!H3:H200,"Needs Discussion")</f>
      </c>
      <c r="F4">
        <f>COUNTIF('Home Page'!H3:H200,"Pending")</f>
      </c>
      <c r="G4">
        <f>COUNTIF('Home Page'!H3:H200,"Retest")</f>
      </c>
      <c r="H4">
        <f>COUNTIF('Home Page'!H3:H200,"N/A")</f>
      </c>
      <c r="I4">
        <f>B4-SUM(C4:H4)</f>
      </c>
    </row>
    <row r="5" spans="1:9" x14ac:dyDescent="0.25">
      <c r="A5" t="s">
        <v>12</v>
      </c>
      <c r="B5">
        <f>COUNTA('Search'!B3:B200)-COUNTIF('Search'!B3:B200,"* *")</f>
      </c>
      <c r="C5">
        <f>COUNTIF('Search'!H3:H200,"Pass")</f>
      </c>
      <c r="D5">
        <f>COUNTIF('Search'!H3:H200,"Fail")</f>
      </c>
      <c r="E5">
        <f>COUNTIF('Search'!H3:H200,"Needs Discussion")</f>
      </c>
      <c r="F5">
        <f>COUNTIF('Search'!H3:H200,"Pending")</f>
      </c>
      <c r="G5">
        <f>COUNTIF('Search'!H3:H200,"Retest")</f>
      </c>
      <c r="H5">
        <f>COUNTIF('Search'!H3:H200,"N/A")</f>
      </c>
      <c r="I5">
        <f>B5-SUM(C5:H5)</f>
      </c>
    </row>
    <row r="6" spans="1:9" x14ac:dyDescent="0.25">
      <c r="A6" t="s">
        <v>13</v>
      </c>
      <c r="B6">
        <f>COUNTA('Cart and Checkout'!B3:B200)-COUNTIF('Cart and Checkout'!B3:B200,"* *")</f>
      </c>
      <c r="C6">
        <f>COUNTIF('Cart and Checkout'!H3:H200,"Pass")</f>
      </c>
      <c r="D6">
        <f>COUNTIF('Cart and Checkout'!H3:H200,"Fail")</f>
      </c>
      <c r="E6">
        <f>COUNTIF('Cart and Checkout'!H3:H200,"Needs Discussion")</f>
      </c>
      <c r="F6">
        <f>COUNTIF('Cart and Checkout'!H3:H200,"Pending")</f>
      </c>
      <c r="G6">
        <f>COUNTIF('Cart and Checkout'!H3:H200,"Retest")</f>
      </c>
      <c r="H6">
        <f>COUNTIF('Cart and Checkout'!H3:H200,"N/A")</f>
      </c>
      <c r="I6">
        <f>B6-SUM(C6:H6)</f>
      </c>
    </row>
    <row r="7" spans="1:9" x14ac:dyDescent="0.25">
      <c r="A7" t="s">
        <v>14</v>
      </c>
      <c r="B7">
        <f>COUNTA('My Account'!B3:B200)-COUNTIF('My Account'!B3:B200,"* *")</f>
      </c>
      <c r="C7">
        <f>COUNTIF('My Account'!H3:H200,"Pass")</f>
      </c>
      <c r="D7">
        <f>COUNTIF('My Account'!H3:H200,"Fail")</f>
      </c>
      <c r="E7">
        <f>COUNTIF('My Account'!H3:H200,"Needs Discussion")</f>
      </c>
      <c r="F7">
        <f>COUNTIF('My Account'!H3:H200,"Pending")</f>
      </c>
      <c r="G7">
        <f>COUNTIF('My Account'!H3:H200,"Retest")</f>
      </c>
      <c r="H7">
        <f>COUNTIF('My Account'!H3:H200,"N/A")</f>
      </c>
      <c r="I7">
        <f>B7-SUM(C7:H7)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3" customWidth="1"/>
    <col min="2" max="2" width="8" customWidth="1"/>
    <col min="3" max="3" width="22" customWidth="1"/>
    <col min="4" max="4" width="32" customWidth="1"/>
    <col min="5" max="5" width="42" customWidth="1"/>
    <col min="6" max="6" width="28" customWidth="1"/>
    <col min="7" max="7" width="40" customWidth="1"/>
    <col min="8" max="8" width="14" customWidth="1"/>
    <col min="9" max="9" width="18" customWidth="1"/>
    <col min="10" max="11" width="30" customWidth="1"/>
  </cols>
  <sheetData>
    <row r="1" spans="2:11" x14ac:dyDescent="0.25"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25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spans="2:11" x14ac:dyDescent="0.25">
      <c r="B3" s="4" t="s">
        <v>26</v>
      </c>
      <c r="C3" s="4"/>
      <c r="D3" s="4"/>
      <c r="E3" s="4"/>
      <c r="F3" s="4"/>
      <c r="G3" s="4"/>
      <c r="H3" s="4"/>
      <c r="I3" s="4"/>
      <c r="J3" s="4"/>
      <c r="K3" s="4"/>
    </row>
    <row r="4" spans="1:11" s="5" customFormat="1" x14ac:dyDescent="0.25">
      <c r="A4" s="5"/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/>
      <c r="I4" s="5" t="s">
        <v>33</v>
      </c>
      <c r="J4" s="5"/>
      <c r="K4" s="5"/>
    </row>
    <row r="5" spans="2:11" x14ac:dyDescent="0.25"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</row>
    <row r="6" spans="1:11" s="5" customFormat="1" x14ac:dyDescent="0.25">
      <c r="A6" s="5"/>
      <c r="B6" s="5" t="s">
        <v>35</v>
      </c>
      <c r="C6" s="5" t="s">
        <v>36</v>
      </c>
      <c r="D6" s="5" t="s">
        <v>37</v>
      </c>
      <c r="E6" s="5" t="s">
        <v>38</v>
      </c>
      <c r="F6" s="5" t="s">
        <v>31</v>
      </c>
      <c r="G6" s="5" t="s">
        <v>39</v>
      </c>
      <c r="H6" s="5"/>
      <c r="I6" s="5" t="s">
        <v>40</v>
      </c>
      <c r="J6" s="5"/>
      <c r="K6" s="5"/>
    </row>
    <row r="7" spans="1:11" s="5" customFormat="1" x14ac:dyDescent="0.25">
      <c r="A7" s="5"/>
      <c r="B7" s="5" t="s">
        <v>41</v>
      </c>
      <c r="C7" s="5" t="s">
        <v>36</v>
      </c>
      <c r="D7" s="5" t="s">
        <v>42</v>
      </c>
      <c r="E7" s="5" t="s">
        <v>43</v>
      </c>
      <c r="F7" s="5" t="s">
        <v>31</v>
      </c>
      <c r="G7" s="5" t="s">
        <v>44</v>
      </c>
      <c r="H7" s="5"/>
      <c r="I7" s="5" t="s">
        <v>33</v>
      </c>
      <c r="J7" s="5"/>
      <c r="K7" s="5"/>
    </row>
  </sheetData>
  <mergeCells count="3">
    <mergeCell ref="B1:K1"/>
    <mergeCell ref="B3:K3"/>
    <mergeCell ref="B5:K5"/>
  </mergeCells>
  <dataValidations count="2">
    <dataValidation type="list" allowBlank="1" sqref="H4">
      <formula1>"Pass,Fail,Needs Discussion,Pending,Retest,N/A"</formula1>
    </dataValidation>
    <dataValidation type="list" allowBlank="1" sqref="H6:H7">
      <formula1>"Pass,Fail,Needs Discussion,Pending,Retest,N/A"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3" customWidth="1"/>
    <col min="2" max="2" width="8" customWidth="1"/>
    <col min="3" max="3" width="22" customWidth="1"/>
    <col min="4" max="4" width="32" customWidth="1"/>
    <col min="5" max="5" width="42" customWidth="1"/>
    <col min="6" max="6" width="28" customWidth="1"/>
    <col min="7" max="7" width="40" customWidth="1"/>
    <col min="8" max="8" width="14" customWidth="1"/>
    <col min="9" max="9" width="18" customWidth="1"/>
    <col min="10" max="11" width="30" customWidth="1"/>
  </cols>
  <sheetData>
    <row r="1" spans="2:11" x14ac:dyDescent="0.25">
      <c r="B1" s="1" t="s">
        <v>45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25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spans="2:11" x14ac:dyDescent="0.25">
      <c r="B3" s="4" t="s">
        <v>46</v>
      </c>
      <c r="C3" s="4"/>
      <c r="D3" s="4"/>
      <c r="E3" s="4"/>
      <c r="F3" s="4"/>
      <c r="G3" s="4"/>
      <c r="H3" s="4"/>
      <c r="I3" s="4"/>
      <c r="J3" s="4"/>
      <c r="K3" s="4"/>
    </row>
    <row r="4" spans="1:11" s="5" customFormat="1" x14ac:dyDescent="0.25">
      <c r="A4" s="5"/>
      <c r="B4" s="5" t="s">
        <v>27</v>
      </c>
      <c r="C4" s="5" t="s">
        <v>47</v>
      </c>
      <c r="D4" s="5" t="s">
        <v>48</v>
      </c>
      <c r="E4" s="5" t="s">
        <v>49</v>
      </c>
      <c r="F4" s="5" t="s">
        <v>31</v>
      </c>
      <c r="G4" s="5" t="s">
        <v>50</v>
      </c>
      <c r="H4" s="5"/>
      <c r="I4" s="5" t="s">
        <v>51</v>
      </c>
      <c r="J4" s="5"/>
      <c r="K4" s="5"/>
    </row>
    <row r="5" spans="1:11" s="5" customFormat="1" x14ac:dyDescent="0.25">
      <c r="A5" s="5"/>
      <c r="B5" s="5" t="s">
        <v>52</v>
      </c>
      <c r="C5" s="5" t="s">
        <v>47</v>
      </c>
      <c r="D5" s="5" t="s">
        <v>53</v>
      </c>
      <c r="E5" s="5" t="s">
        <v>54</v>
      </c>
      <c r="F5" s="5" t="s">
        <v>31</v>
      </c>
      <c r="G5" s="5" t="s">
        <v>55</v>
      </c>
      <c r="H5" s="5"/>
      <c r="I5" s="5" t="s">
        <v>51</v>
      </c>
      <c r="J5" s="5"/>
      <c r="K5" s="5"/>
    </row>
  </sheetData>
  <mergeCells count="2">
    <mergeCell ref="B1:K1"/>
    <mergeCell ref="B3:K3"/>
  </mergeCells>
  <dataValidations count="1">
    <dataValidation type="list" allowBlank="1" sqref="H4:H5">
      <formula1>"Pass,Fail,Needs Discussion,Pending,Retest,N/A"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3" customWidth="1"/>
    <col min="2" max="2" width="8" customWidth="1"/>
    <col min="3" max="3" width="22" customWidth="1"/>
    <col min="4" max="4" width="32" customWidth="1"/>
    <col min="5" max="5" width="42" customWidth="1"/>
    <col min="6" max="6" width="28" customWidth="1"/>
    <col min="7" max="7" width="40" customWidth="1"/>
    <col min="8" max="8" width="14" customWidth="1"/>
    <col min="9" max="9" width="18" customWidth="1"/>
    <col min="10" max="11" width="30" customWidth="1"/>
  </cols>
  <sheetData>
    <row r="1" spans="2:11" x14ac:dyDescent="0.25"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25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spans="2:11" x14ac:dyDescent="0.25">
      <c r="B3" s="4" t="s">
        <v>57</v>
      </c>
      <c r="C3" s="4"/>
      <c r="D3" s="4"/>
      <c r="E3" s="4"/>
      <c r="F3" s="4"/>
      <c r="G3" s="4"/>
      <c r="H3" s="4"/>
      <c r="I3" s="4"/>
      <c r="J3" s="4"/>
      <c r="K3" s="4"/>
    </row>
    <row r="4" spans="1:11" s="5" customFormat="1" x14ac:dyDescent="0.25">
      <c r="A4" s="5"/>
      <c r="B4" s="5" t="s">
        <v>27</v>
      </c>
      <c r="C4" s="5" t="s">
        <v>58</v>
      </c>
      <c r="D4" s="5" t="s">
        <v>59</v>
      </c>
      <c r="E4" s="5" t="s">
        <v>60</v>
      </c>
      <c r="F4" s="5" t="s">
        <v>31</v>
      </c>
      <c r="G4" s="5" t="s">
        <v>61</v>
      </c>
      <c r="H4" s="5"/>
      <c r="I4" s="5" t="s">
        <v>40</v>
      </c>
      <c r="J4" s="5"/>
      <c r="K4" s="5"/>
    </row>
    <row r="5" spans="2:11" x14ac:dyDescent="0.25">
      <c r="B5" s="4" t="s">
        <v>62</v>
      </c>
      <c r="C5" s="4"/>
      <c r="D5" s="4"/>
      <c r="E5" s="4"/>
      <c r="F5" s="4"/>
      <c r="G5" s="4"/>
      <c r="H5" s="4"/>
      <c r="I5" s="4"/>
      <c r="J5" s="4"/>
      <c r="K5" s="4"/>
    </row>
    <row r="6" spans="1:11" s="5" customFormat="1" x14ac:dyDescent="0.25">
      <c r="A6" s="5"/>
      <c r="B6" s="5" t="s">
        <v>35</v>
      </c>
      <c r="C6" s="5" t="s">
        <v>63</v>
      </c>
      <c r="D6" s="5" t="s">
        <v>64</v>
      </c>
      <c r="E6" s="5" t="s">
        <v>65</v>
      </c>
      <c r="F6" s="5" t="s">
        <v>31</v>
      </c>
      <c r="G6" s="5" t="s">
        <v>66</v>
      </c>
      <c r="H6" s="5"/>
      <c r="I6" s="5" t="s">
        <v>67</v>
      </c>
      <c r="J6" s="5"/>
      <c r="K6" s="5"/>
    </row>
    <row r="7" spans="1:11" s="5" customFormat="1" x14ac:dyDescent="0.25">
      <c r="A7" s="5"/>
      <c r="B7" s="5" t="s">
        <v>41</v>
      </c>
      <c r="C7" s="5" t="s">
        <v>63</v>
      </c>
      <c r="D7" s="5" t="s">
        <v>68</v>
      </c>
      <c r="E7" s="5" t="s">
        <v>69</v>
      </c>
      <c r="F7" s="5" t="s">
        <v>31</v>
      </c>
      <c r="G7" s="5" t="s">
        <v>70</v>
      </c>
      <c r="H7" s="5"/>
      <c r="I7" s="5" t="s">
        <v>67</v>
      </c>
      <c r="J7" s="5"/>
      <c r="K7" s="5"/>
    </row>
  </sheetData>
  <mergeCells count="3">
    <mergeCell ref="B1:K1"/>
    <mergeCell ref="B3:K3"/>
    <mergeCell ref="B5:K5"/>
  </mergeCells>
  <dataValidations count="2">
    <dataValidation type="list" allowBlank="1" sqref="H4">
      <formula1>"Pass,Fail,Needs Discussion,Pending,Retest,N/A"</formula1>
    </dataValidation>
    <dataValidation type="list" allowBlank="1" sqref="H6:H7">
      <formula1>"Pass,Fail,Needs Discussion,Pending,Retest,N/A"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3" customWidth="1"/>
    <col min="2" max="2" width="8" customWidth="1"/>
    <col min="3" max="3" width="22" customWidth="1"/>
    <col min="4" max="4" width="32" customWidth="1"/>
    <col min="5" max="5" width="42" customWidth="1"/>
    <col min="6" max="6" width="28" customWidth="1"/>
    <col min="7" max="7" width="40" customWidth="1"/>
    <col min="8" max="8" width="14" customWidth="1"/>
    <col min="9" max="9" width="18" customWidth="1"/>
    <col min="10" max="11" width="30" customWidth="1"/>
  </cols>
  <sheetData>
    <row r="1" spans="2:11" x14ac:dyDescent="0.25">
      <c r="B1" s="1" t="s">
        <v>71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25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spans="2:11" x14ac:dyDescent="0.25">
      <c r="B3" s="4" t="s">
        <v>72</v>
      </c>
      <c r="C3" s="4"/>
      <c r="D3" s="4"/>
      <c r="E3" s="4"/>
      <c r="F3" s="4"/>
      <c r="G3" s="4"/>
      <c r="H3" s="4"/>
      <c r="I3" s="4"/>
      <c r="J3" s="4"/>
      <c r="K3" s="4"/>
    </row>
    <row r="4" spans="1:11" s="5" customFormat="1" x14ac:dyDescent="0.25">
      <c r="A4" s="5"/>
      <c r="B4" s="5" t="s">
        <v>27</v>
      </c>
      <c r="C4" s="5" t="s">
        <v>73</v>
      </c>
      <c r="D4" s="5" t="s">
        <v>74</v>
      </c>
      <c r="E4" s="5" t="s">
        <v>75</v>
      </c>
      <c r="F4" s="5" t="s">
        <v>31</v>
      </c>
      <c r="G4" s="5" t="s">
        <v>76</v>
      </c>
      <c r="H4" s="5"/>
      <c r="I4" s="5" t="s">
        <v>40</v>
      </c>
      <c r="J4" s="5"/>
      <c r="K4" s="5"/>
    </row>
    <row r="5" spans="2:11" x14ac:dyDescent="0.25">
      <c r="B5" s="4" t="s">
        <v>77</v>
      </c>
      <c r="C5" s="4"/>
      <c r="D5" s="4"/>
      <c r="E5" s="4"/>
      <c r="F5" s="4"/>
      <c r="G5" s="4"/>
      <c r="H5" s="4"/>
      <c r="I5" s="4"/>
      <c r="J5" s="4"/>
      <c r="K5" s="4"/>
    </row>
    <row r="6" spans="1:11" s="5" customFormat="1" x14ac:dyDescent="0.25">
      <c r="A6" s="5"/>
      <c r="B6" s="5" t="s">
        <v>35</v>
      </c>
      <c r="C6" s="5" t="s">
        <v>78</v>
      </c>
      <c r="D6" s="5" t="s">
        <v>79</v>
      </c>
      <c r="E6" s="5" t="s">
        <v>80</v>
      </c>
      <c r="F6" s="5" t="s">
        <v>31</v>
      </c>
      <c r="G6" s="5" t="s">
        <v>81</v>
      </c>
      <c r="H6" s="5"/>
      <c r="I6" s="5" t="s">
        <v>40</v>
      </c>
      <c r="J6" s="5"/>
      <c r="K6" s="5"/>
    </row>
  </sheetData>
  <mergeCells count="3">
    <mergeCell ref="B1:K1"/>
    <mergeCell ref="B3:K3"/>
    <mergeCell ref="B5:K5"/>
  </mergeCells>
  <dataValidations count="2">
    <dataValidation type="list" allowBlank="1" sqref="H4">
      <formula1>"Pass,Fail,Needs Discussion,Pending,Retest,N/A"</formula1>
    </dataValidation>
    <dataValidation type="list" allowBlank="1" sqref="H6">
      <formula1>"Pass,Fail,Needs Discussion,Pending,Retest,N/A"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UAT Tracker</vt:lpstr>
      <vt:lpstr>Home Page</vt:lpstr>
      <vt:lpstr>Search</vt:lpstr>
      <vt:lpstr>Cart and Checkout</vt:lpstr>
      <vt:lpstr>My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2026-10-19T14:36:23Z</dcterms:created>
  <dcterms:modified xsi:type="dcterms:W3CDTF">2026-10-19T14:36:23Z</dcterms:modified>
</cp:coreProperties>
</file>